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i_c\OneDrive\Área de Trabalho\Santander - Excel com Inteligência Artificial\"/>
    </mc:Choice>
  </mc:AlternateContent>
  <xr:revisionPtr revIDLastSave="0" documentId="13_ncr:1_{CC0E41CD-1DDC-45EF-8BEA-4F84E46A7DDC}" xr6:coauthVersionLast="47" xr6:coauthVersionMax="47" xr10:uidLastSave="{00000000-0000-0000-0000-000000000000}"/>
  <bookViews>
    <workbookView xWindow="28680" yWindow="-120" windowWidth="29040" windowHeight="15720" tabRatio="0" firstSheet="1" activeTab="3" xr2:uid="{1C1F6274-6663-434E-B6B1-2886BA4432A3}"/>
  </bookViews>
  <sheets>
    <sheet name="Planilha2" sheetId="2" state="hidden" r:id="rId1"/>
    <sheet name="TITULAR" sheetId="3" r:id="rId2"/>
    <sheet name="INFORMES" sheetId="6" r:id="rId3"/>
    <sheet name="NOTAS" sheetId="7" r:id="rId4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7" l="1"/>
  <c r="E11" i="7"/>
  <c r="E12" i="7"/>
  <c r="E13" i="7"/>
  <c r="E14" i="7"/>
  <c r="E15" i="7"/>
  <c r="E16" i="7"/>
  <c r="E17" i="7"/>
  <c r="E18" i="7"/>
  <c r="E19" i="7"/>
  <c r="E20" i="7"/>
  <c r="D9" i="3"/>
  <c r="C10" i="7"/>
  <c r="C11" i="7"/>
  <c r="C12" i="7"/>
  <c r="C13" i="7"/>
  <c r="C14" i="7"/>
  <c r="C15" i="7"/>
  <c r="C16" i="7"/>
  <c r="C17" i="7"/>
  <c r="C18" i="7"/>
  <c r="C19" i="7"/>
  <c r="C20" i="7"/>
  <c r="D22" i="6"/>
  <c r="D17" i="6"/>
  <c r="D12" i="6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2" i="2"/>
  <c r="D21" i="6"/>
  <c r="D16" i="6"/>
  <c r="D11" i="6"/>
  <c r="D16" i="3"/>
  <c r="D14" i="3"/>
  <c r="D15" i="3"/>
  <c r="D10" i="3" a="1"/>
  <c r="D8" i="3" a="1"/>
  <c r="C8" i="6" l="1"/>
  <c r="D10" i="3"/>
  <c r="D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<sst xmlns="http://schemas.openxmlformats.org/spreadsheetml/2006/main" count="134" uniqueCount="100">
  <si>
    <t>104 - Caixa Econômica Federal</t>
  </si>
  <si>
    <t>260 - Nubank</t>
  </si>
  <si>
    <t>654 - Banco AJ Renner</t>
  </si>
  <si>
    <t>218 - Banco Bonsucesso</t>
  </si>
  <si>
    <t>237 - Banco Bradesco</t>
  </si>
  <si>
    <t>208 - Banco BTG Pactual</t>
  </si>
  <si>
    <t>44 - Banco BVA</t>
  </si>
  <si>
    <t>241 - Banco Clássico</t>
  </si>
  <si>
    <t>229 - Banco Cruzeiro do Sul</t>
  </si>
  <si>
    <t>3 - Banco da Amazônia</t>
  </si>
  <si>
    <t>707 - Banco Daycoval</t>
  </si>
  <si>
    <t>250 - Banco de Crédito e Varejo (BCV)</t>
  </si>
  <si>
    <t>24 - Banco de Pernambuco</t>
  </si>
  <si>
    <t>1 - Banco do Brasil</t>
  </si>
  <si>
    <t>37 - Banco do Estado do Pará</t>
  </si>
  <si>
    <t>29 - Banco do Estado do Rio de Janeiro</t>
  </si>
  <si>
    <t>41 - Banco do Estado do Rio Grande do Sul</t>
  </si>
  <si>
    <t>4 - Banco do Nordeste do Brasil</t>
  </si>
  <si>
    <t>734 - Banco Gerdau</t>
  </si>
  <si>
    <t>604 - Banco Industrial do Brasil</t>
  </si>
  <si>
    <t>77 - Banco Inter</t>
  </si>
  <si>
    <t>74 - Banco J. Safra</t>
  </si>
  <si>
    <t>79 - Banco JBS</t>
  </si>
  <si>
    <t>65 - Banco Lemon</t>
  </si>
  <si>
    <t>600 - Banco Luso Brasileiro</t>
  </si>
  <si>
    <t>746 - Banco Modal</t>
  </si>
  <si>
    <t>66 - Banco Morgan Stanley</t>
  </si>
  <si>
    <t>735 - Banco Neon</t>
  </si>
  <si>
    <t>212 - Banco Original</t>
  </si>
  <si>
    <t>72 - Banco Rural Mais</t>
  </si>
  <si>
    <t>422 - Banco Safra</t>
  </si>
  <si>
    <t>33 - Banco Santander</t>
  </si>
  <si>
    <t>749 - Banco Simples</t>
  </si>
  <si>
    <t>464 - Banco Sumitomo Mitsui Brasileiro</t>
  </si>
  <si>
    <t>82 - Banco Topázio</t>
  </si>
  <si>
    <t>634 - Banco Triângulo</t>
  </si>
  <si>
    <t>655 - Banco Votorantim</t>
  </si>
  <si>
    <t>610 - Banco VR</t>
  </si>
  <si>
    <t>119 - Banco Western Union do Brasil</t>
  </si>
  <si>
    <t>336 - C6 Bank</t>
  </si>
  <si>
    <t>477 - Citibank</t>
  </si>
  <si>
    <t>62 - Hipercard Banco Múltiplo</t>
  </si>
  <si>
    <t>341 - Itaú Unibanco</t>
  </si>
  <si>
    <t>197 - Stone Pagamentos</t>
  </si>
  <si>
    <t>290 - PagBank</t>
  </si>
  <si>
    <t>380 - PicPay</t>
  </si>
  <si>
    <t>184 - Banco Itaú BBA S.A.</t>
  </si>
  <si>
    <t>748 - Banco Cooperativo Sicredi S.A.</t>
  </si>
  <si>
    <t>102 - XP Investimentos CCTVM S.A.</t>
  </si>
  <si>
    <t>376 - Banco JPMorgan S.A.</t>
  </si>
  <si>
    <t>bancos</t>
  </si>
  <si>
    <t>Site:</t>
  </si>
  <si>
    <t>Color comb palette</t>
  </si>
  <si>
    <t>Cores</t>
  </si>
  <si>
    <t>EE37EF</t>
  </si>
  <si>
    <t>6124E8</t>
  </si>
  <si>
    <t>Fontes</t>
  </si>
  <si>
    <t xml:space="preserve">⚓ </t>
  </si>
  <si>
    <t xml:space="preserve">NOME </t>
  </si>
  <si>
    <t>CPF</t>
  </si>
  <si>
    <t>NASCIMENTO</t>
  </si>
  <si>
    <t>TÍTULO DE ELEITOR</t>
  </si>
  <si>
    <t>CÔNJUGE</t>
  </si>
  <si>
    <t>RUA</t>
  </si>
  <si>
    <t>CEP</t>
  </si>
  <si>
    <t>RUA ABREVIADA</t>
  </si>
  <si>
    <t>TELEFONE</t>
  </si>
  <si>
    <t>CELULAR</t>
  </si>
  <si>
    <t>HOUVE ALTERAÇÃO DA ENTREGA ANTERIOR</t>
  </si>
  <si>
    <t>DEPENDENTE CÔNJUGE</t>
  </si>
  <si>
    <t>RESIDENTE DO EXTERIOR</t>
  </si>
  <si>
    <t>1. DADOS DO TÍTULAR</t>
  </si>
  <si>
    <t>Segoe UI Light</t>
  </si>
  <si>
    <t>2. INFORMES DE RENDIMENTOS BANCÁRIOS</t>
  </si>
  <si>
    <t>Preencha os dados da sua pessoa física abaixo</t>
  </si>
  <si>
    <t xml:space="preserve">Luiz Antonio </t>
  </si>
  <si>
    <t>Lucia Maria</t>
  </si>
  <si>
    <t>João Leite Leal</t>
  </si>
  <si>
    <t>João L. Leal - Nº 678</t>
  </si>
  <si>
    <t>E-MAIL</t>
  </si>
  <si>
    <t>luiz-1234@irxpress.com</t>
  </si>
  <si>
    <t>NÃO</t>
  </si>
  <si>
    <t>TOTAL</t>
  </si>
  <si>
    <t>1º Banco</t>
  </si>
  <si>
    <t>BANCO</t>
  </si>
  <si>
    <t>VALOR ATUAL</t>
  </si>
  <si>
    <t>ANEXO 🔗</t>
  </si>
  <si>
    <t>2º Banco</t>
  </si>
  <si>
    <t>3º Banco</t>
  </si>
  <si>
    <t>_2025.pdf</t>
  </si>
  <si>
    <t>Anexo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</si>
  <si>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</si>
  <si>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</si>
  <si>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</si>
  <si>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</si>
  <si>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</si>
  <si>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</si>
  <si>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</si>
  <si>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CNPJ</t>
  </si>
  <si>
    <t>FREELANCER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</si>
</sst>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6" formatCode="mmmm\-yyyy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theme="1"/>
      <name val="Segoe UI Light"/>
      <family val="2"/>
    </font>
    <font>
      <i/>
      <sz val="10"/>
      <color theme="1"/>
      <name val="Segoe UI Light"/>
      <family val="2"/>
    </font>
    <font>
      <i/>
      <sz val="10"/>
      <name val="Segoe UI Light"/>
      <family val="2"/>
    </font>
    <font>
      <b/>
      <sz val="11"/>
      <color rgb="FF0070C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/>
      <name val="Segoe UI Light"/>
      <family val="2"/>
    </font>
    <font>
      <sz val="10"/>
      <color theme="1"/>
      <name val="Arial Unicode MS"/>
      <family val="2"/>
    </font>
    <font>
      <sz val="11"/>
      <color rgb="FF9C57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L LIGTH"/>
    </font>
  </fonts>
  <fills count="8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CC99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ck">
        <color rgb="FFEE37EF"/>
      </top>
      <bottom/>
      <diagonal/>
    </border>
    <border>
      <left/>
      <right/>
      <top/>
      <bottom style="thick">
        <color rgb="FFEE37EF"/>
      </bottom>
      <diagonal/>
    </border>
  </borders>
  <cellStyleXfs count="6">
    <xf numFmtId="0" fontId="0" fillId="0" borderId="0"/>
    <xf numFmtId="0" fontId="2" fillId="3" borderId="1" applyNumberFormat="0" applyAlignment="0" applyProtection="0"/>
    <xf numFmtId="0" fontId="1" fillId="4" borderId="0" applyNumberFormat="0" applyBorder="0" applyAlignment="0" applyProtection="0"/>
    <xf numFmtId="0" fontId="7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0" borderId="0" xfId="0" quotePrefix="1"/>
    <xf numFmtId="0" fontId="1" fillId="4" borderId="0" xfId="2" applyAlignment="1">
      <alignment horizontal="center"/>
    </xf>
    <xf numFmtId="0" fontId="3" fillId="0" borderId="0" xfId="0" applyFont="1"/>
    <xf numFmtId="0" fontId="3" fillId="0" borderId="2" xfId="0" applyFont="1" applyBorder="1" applyAlignment="1">
      <alignment horizontal="right"/>
    </xf>
    <xf numFmtId="0" fontId="6" fillId="0" borderId="0" xfId="0" applyFont="1"/>
    <xf numFmtId="0" fontId="8" fillId="0" borderId="0" xfId="0" applyFont="1"/>
    <xf numFmtId="0" fontId="7" fillId="0" borderId="0" xfId="3"/>
    <xf numFmtId="0" fontId="9" fillId="0" borderId="0" xfId="0" applyFont="1"/>
    <xf numFmtId="0" fontId="3" fillId="0" borderId="0" xfId="0" quotePrefix="1" applyFont="1"/>
    <xf numFmtId="0" fontId="4" fillId="5" borderId="3" xfId="0" applyFont="1" applyFill="1" applyBorder="1" applyAlignment="1">
      <alignment horizontal="left" vertical="center" indent="3"/>
    </xf>
    <xf numFmtId="0" fontId="5" fillId="5" borderId="3" xfId="0" applyFont="1" applyFill="1" applyBorder="1" applyAlignment="1">
      <alignment horizontal="left" vertical="center" indent="3"/>
    </xf>
    <xf numFmtId="0" fontId="6" fillId="0" borderId="4" xfId="0" applyFont="1" applyBorder="1" applyAlignment="1">
      <alignment horizontal="left"/>
    </xf>
    <xf numFmtId="164" fontId="11" fillId="6" borderId="0" xfId="5" applyNumberFormat="1" applyFont="1" applyAlignment="1">
      <alignment horizontal="center"/>
    </xf>
    <xf numFmtId="0" fontId="11" fillId="6" borderId="0" xfId="5" applyFont="1" applyAlignment="1">
      <alignment horizontal="center"/>
    </xf>
    <xf numFmtId="0" fontId="0" fillId="0" borderId="0" xfId="0" applyAlignment="1">
      <alignment horizontal="center"/>
    </xf>
    <xf numFmtId="0" fontId="5" fillId="5" borderId="0" xfId="0" applyFont="1" applyFill="1" applyBorder="1" applyAlignment="1">
      <alignment horizontal="left" vertical="center" indent="3"/>
    </xf>
    <xf numFmtId="0" fontId="6" fillId="0" borderId="0" xfId="0" applyFont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2" fillId="3" borderId="2" xfId="1" applyBorder="1" applyProtection="1">
      <protection locked="0"/>
    </xf>
    <xf numFmtId="14" fontId="2" fillId="3" borderId="2" xfId="1" applyNumberFormat="1" applyBorder="1" applyAlignment="1" applyProtection="1">
      <alignment horizontal="left"/>
      <protection locked="0"/>
    </xf>
    <xf numFmtId="0" fontId="7" fillId="3" borderId="2" xfId="3" applyFill="1" applyBorder="1" applyProtection="1">
      <protection locked="0"/>
    </xf>
    <xf numFmtId="0" fontId="2" fillId="3" borderId="2" xfId="1" applyBorder="1" applyAlignment="1" applyProtection="1">
      <alignment horizontal="left"/>
      <protection locked="0"/>
    </xf>
    <xf numFmtId="164" fontId="2" fillId="3" borderId="2" xfId="1" applyNumberFormat="1" applyBorder="1" applyAlignment="1" applyProtection="1">
      <alignment horizontal="left"/>
      <protection locked="0"/>
    </xf>
    <xf numFmtId="166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44" fontId="12" fillId="0" borderId="0" xfId="4" applyFont="1" applyAlignment="1" applyProtection="1">
      <protection locked="0"/>
    </xf>
  </cellXfs>
  <cellStyles count="6">
    <cellStyle name="60% - Ênfase5" xfId="2" builtinId="48"/>
    <cellStyle name="Entrada" xfId="1" builtinId="20"/>
    <cellStyle name="Hiperlink" xfId="3" builtinId="8"/>
    <cellStyle name="Moeda" xfId="4" builtinId="4"/>
    <cellStyle name="Neutro" xfId="5" builtinId="28"/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6" formatCode="mmmm\-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</dxf>
  </dxfs>
  <tableStyles count="0" defaultTableStyle="TableStyleMedium2" defaultPivotStyle="PivotStyleLight16"/>
  <colors>
    <mruColors>
      <color rgb="FFEE37EF"/>
      <color rgb="FF6124E8"/>
      <color rgb="FFCCCCFF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lgcataneo/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lgcataneo/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lgcataneo/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665301</xdr:colOff>
      <xdr:row>3</xdr:row>
      <xdr:rowOff>142874</xdr:rowOff>
    </xdr:from>
    <xdr:to>
      <xdr:col>0</xdr:col>
      <xdr:colOff>1706423</xdr:colOff>
      <xdr:row>8</xdr:row>
      <xdr:rowOff>47624</xdr:rowOff>
    </xdr:to>
    <xdr:pic>
      <xdr:nvPicPr>
        <xdr:cNvPr id="7" name="Imagem 6" descr="Lion - Free animals icons">
          <a:extLst>
            <a:ext uri="{FF2B5EF4-FFF2-40B4-BE49-F238E27FC236}">
              <a16:creationId xmlns:a16="http://schemas.microsoft.com/office/drawing/2014/main" id="{1FD6A1A3-09C8-BCA5-2B11-05389F93C7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301" y="771524"/>
          <a:ext cx="1041122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</xdr:colOff>
      <xdr:row>0</xdr:row>
      <xdr:rowOff>180975</xdr:rowOff>
    </xdr:from>
    <xdr:to>
      <xdr:col>0</xdr:col>
      <xdr:colOff>2362200</xdr:colOff>
      <xdr:row>3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E4DF244-FF71-AF5E-EAA1-0B821FB895EC}"/>
            </a:ext>
          </a:extLst>
        </xdr:cNvPr>
        <xdr:cNvSpPr/>
      </xdr:nvSpPr>
      <xdr:spPr>
        <a:xfrm>
          <a:off x="9525" y="180975"/>
          <a:ext cx="2352675" cy="447675"/>
        </a:xfrm>
        <a:prstGeom prst="roundRect">
          <a:avLst/>
        </a:prstGeom>
        <a:noFill/>
        <a:ln>
          <a:noFill/>
        </a:ln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gradFill flip="none" rotWithShape="1">
                <a:gsLst>
                  <a:gs pos="6000">
                    <a:srgbClr val="EE37EF"/>
                  </a:gs>
                  <a:gs pos="95000">
                    <a:srgbClr val="6124E8">
                      <a:lumMod val="31000"/>
                      <a:lumOff val="69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IRXpress APP</a:t>
          </a:r>
          <a:endParaRPr lang="pt-BR" sz="1600" b="1">
            <a:gradFill flip="none" rotWithShape="1">
              <a:gsLst>
                <a:gs pos="6000">
                  <a:srgbClr val="EE37EF"/>
                </a:gs>
                <a:gs pos="95000">
                  <a:srgbClr val="6124E8">
                    <a:lumMod val="31000"/>
                    <a:lumOff val="69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185738</xdr:colOff>
      <xdr:row>11</xdr:row>
      <xdr:rowOff>28575</xdr:rowOff>
    </xdr:from>
    <xdr:to>
      <xdr:col>0</xdr:col>
      <xdr:colOff>2214563</xdr:colOff>
      <xdr:row>13</xdr:row>
      <xdr:rowOff>104775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5F66A4-8DCA-E60F-7D13-716A07274B2A}"/>
            </a:ext>
          </a:extLst>
        </xdr:cNvPr>
        <xdr:cNvSpPr/>
      </xdr:nvSpPr>
      <xdr:spPr>
        <a:xfrm>
          <a:off x="185738" y="2124075"/>
          <a:ext cx="2028825" cy="457200"/>
        </a:xfrm>
        <a:prstGeom prst="roundRect">
          <a:avLst>
            <a:gd name="adj" fmla="val 50000"/>
          </a:avLst>
        </a:prstGeom>
        <a:gradFill>
          <a:gsLst>
            <a:gs pos="7000">
              <a:srgbClr val="EE37EF">
                <a:alpha val="98000"/>
              </a:srgbClr>
            </a:gs>
            <a:gs pos="95000">
              <a:srgbClr val="6124E8"/>
            </a:gs>
          </a:gsLst>
          <a:lin ang="5400000" scaled="1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123825</xdr:colOff>
      <xdr:row>33</xdr:row>
      <xdr:rowOff>0</xdr:rowOff>
    </xdr:from>
    <xdr:to>
      <xdr:col>0</xdr:col>
      <xdr:colOff>695325</xdr:colOff>
      <xdr:row>35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AF2F68A0-B84A-AD0C-FA3D-7ADFF20CF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628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185738</xdr:colOff>
      <xdr:row>14</xdr:row>
      <xdr:rowOff>23813</xdr:rowOff>
    </xdr:from>
    <xdr:to>
      <xdr:col>0</xdr:col>
      <xdr:colOff>2214563</xdr:colOff>
      <xdr:row>16</xdr:row>
      <xdr:rowOff>100013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EC0EB7-9965-40FC-9BC7-5C204B116DF7}"/>
            </a:ext>
          </a:extLst>
        </xdr:cNvPr>
        <xdr:cNvSpPr/>
      </xdr:nvSpPr>
      <xdr:spPr>
        <a:xfrm>
          <a:off x="185738" y="2690813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185738</xdr:colOff>
      <xdr:row>17</xdr:row>
      <xdr:rowOff>19050</xdr:rowOff>
    </xdr:from>
    <xdr:to>
      <xdr:col>0</xdr:col>
      <xdr:colOff>2214563</xdr:colOff>
      <xdr:row>19</xdr:row>
      <xdr:rowOff>95250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554789-1775-498F-9630-9261C8138F5E}"/>
            </a:ext>
          </a:extLst>
        </xdr:cNvPr>
        <xdr:cNvSpPr/>
      </xdr:nvSpPr>
      <xdr:spPr>
        <a:xfrm>
          <a:off x="185738" y="3257550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309563</xdr:colOff>
      <xdr:row>20</xdr:row>
      <xdr:rowOff>95250</xdr:rowOff>
    </xdr:from>
    <xdr:to>
      <xdr:col>0</xdr:col>
      <xdr:colOff>2090738</xdr:colOff>
      <xdr:row>22</xdr:row>
      <xdr:rowOff>57150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76DCC9-A2EB-A3AC-FBB4-1716733E9CD5}"/>
            </a:ext>
          </a:extLst>
        </xdr:cNvPr>
        <xdr:cNvSpPr/>
      </xdr:nvSpPr>
      <xdr:spPr>
        <a:xfrm>
          <a:off x="309563" y="4314825"/>
          <a:ext cx="17811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IRXpress</a:t>
          </a:r>
          <a:r>
            <a:rPr lang="pt-BR" sz="1100" baseline="0"/>
            <a:t> 🧑‍💻</a:t>
          </a:r>
          <a:endParaRPr lang="pt-BR" sz="1100"/>
        </a:p>
      </xdr:txBody>
    </xdr:sp>
    <xdr:clientData/>
  </xdr:twoCellAnchor>
  <xdr:twoCellAnchor editAs="absolute">
    <xdr:from>
      <xdr:col>0</xdr:col>
      <xdr:colOff>185738</xdr:colOff>
      <xdr:row>20</xdr:row>
      <xdr:rowOff>66675</xdr:rowOff>
    </xdr:from>
    <xdr:to>
      <xdr:col>0</xdr:col>
      <xdr:colOff>2214563</xdr:colOff>
      <xdr:row>20</xdr:row>
      <xdr:rowOff>76200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4107D6C6-DFBB-C351-DC38-13A801E01D9B}"/>
            </a:ext>
          </a:extLst>
        </xdr:cNvPr>
        <xdr:cNvCxnSpPr/>
      </xdr:nvCxnSpPr>
      <xdr:spPr>
        <a:xfrm>
          <a:off x="185738" y="4286250"/>
          <a:ext cx="2028825" cy="9525"/>
        </a:xfrm>
        <a:prstGeom prst="line">
          <a:avLst/>
        </a:prstGeom>
        <a:ln w="9525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952500</xdr:colOff>
      <xdr:row>25</xdr:row>
      <xdr:rowOff>63500</xdr:rowOff>
    </xdr:from>
    <xdr:to>
      <xdr:col>0</xdr:col>
      <xdr:colOff>1447800</xdr:colOff>
      <xdr:row>27</xdr:row>
      <xdr:rowOff>139700</xdr:rowOff>
    </xdr:to>
    <xdr:pic>
      <xdr:nvPicPr>
        <xdr:cNvPr id="10" name="icon_link" descr="White LinkedIn Logo Icons for Your Websit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F5F3B5C-BAE6-1743-9128-253E4555C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826000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3228975</xdr:colOff>
      <xdr:row>20</xdr:row>
      <xdr:rowOff>66675</xdr:rowOff>
    </xdr:from>
    <xdr:to>
      <xdr:col>4</xdr:col>
      <xdr:colOff>8925</xdr:colOff>
      <xdr:row>21</xdr:row>
      <xdr:rowOff>142875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6F3727-29D8-C826-433F-007181AB11FB}"/>
            </a:ext>
          </a:extLst>
        </xdr:cNvPr>
        <xdr:cNvSpPr/>
      </xdr:nvSpPr>
      <xdr:spPr>
        <a:xfrm>
          <a:off x="6267450" y="4286250"/>
          <a:ext cx="3276000" cy="2857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665301</xdr:colOff>
      <xdr:row>3</xdr:row>
      <xdr:rowOff>200024</xdr:rowOff>
    </xdr:from>
    <xdr:to>
      <xdr:col>0</xdr:col>
      <xdr:colOff>1706423</xdr:colOff>
      <xdr:row>8</xdr:row>
      <xdr:rowOff>142874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6288752F-0A2A-447F-BFAB-4335B3B85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301" y="771524"/>
          <a:ext cx="1041122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</xdr:colOff>
      <xdr:row>0</xdr:row>
      <xdr:rowOff>180975</xdr:rowOff>
    </xdr:from>
    <xdr:to>
      <xdr:col>0</xdr:col>
      <xdr:colOff>2362200</xdr:colOff>
      <xdr:row>3</xdr:row>
      <xdr:rowOff>57150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0911780-77A4-4FF1-B658-83010E58C1C9}"/>
            </a:ext>
          </a:extLst>
        </xdr:cNvPr>
        <xdr:cNvSpPr/>
      </xdr:nvSpPr>
      <xdr:spPr>
        <a:xfrm>
          <a:off x="9525" y="180975"/>
          <a:ext cx="2352675" cy="447675"/>
        </a:xfrm>
        <a:prstGeom prst="roundRect">
          <a:avLst/>
        </a:prstGeom>
        <a:noFill/>
        <a:ln>
          <a:noFill/>
        </a:ln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gradFill flip="none" rotWithShape="1">
                <a:gsLst>
                  <a:gs pos="6000">
                    <a:srgbClr val="EE37EF"/>
                  </a:gs>
                  <a:gs pos="95000">
                    <a:srgbClr val="6124E8">
                      <a:lumMod val="31000"/>
                      <a:lumOff val="69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IRXpress APP</a:t>
          </a:r>
          <a:endParaRPr lang="pt-BR" sz="1600" b="1">
            <a:gradFill flip="none" rotWithShape="1">
              <a:gsLst>
                <a:gs pos="6000">
                  <a:srgbClr val="EE37EF"/>
                </a:gs>
                <a:gs pos="95000">
                  <a:srgbClr val="6124E8">
                    <a:lumMod val="31000"/>
                    <a:lumOff val="69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185738</xdr:colOff>
      <xdr:row>11</xdr:row>
      <xdr:rowOff>28575</xdr:rowOff>
    </xdr:from>
    <xdr:to>
      <xdr:col>0</xdr:col>
      <xdr:colOff>2214563</xdr:colOff>
      <xdr:row>13</xdr:row>
      <xdr:rowOff>104775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76D9B31-8A92-41BB-8440-0E41C18DB054}"/>
            </a:ext>
          </a:extLst>
        </xdr:cNvPr>
        <xdr:cNvSpPr/>
      </xdr:nvSpPr>
      <xdr:spPr>
        <a:xfrm>
          <a:off x="185738" y="2124075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123825</xdr:colOff>
      <xdr:row>33</xdr:row>
      <xdr:rowOff>0</xdr:rowOff>
    </xdr:from>
    <xdr:to>
      <xdr:col>0</xdr:col>
      <xdr:colOff>695325</xdr:colOff>
      <xdr:row>35</xdr:row>
      <xdr:rowOff>152400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8D38FC5-FFDB-481B-ADE6-520DE5BF7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628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185738</xdr:colOff>
      <xdr:row>14</xdr:row>
      <xdr:rowOff>23813</xdr:rowOff>
    </xdr:from>
    <xdr:to>
      <xdr:col>0</xdr:col>
      <xdr:colOff>2214563</xdr:colOff>
      <xdr:row>16</xdr:row>
      <xdr:rowOff>100013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9E03C4-A282-4912-AA45-51E79D70BF64}"/>
            </a:ext>
          </a:extLst>
        </xdr:cNvPr>
        <xdr:cNvSpPr/>
      </xdr:nvSpPr>
      <xdr:spPr>
        <a:xfrm>
          <a:off x="185738" y="2690813"/>
          <a:ext cx="2028825" cy="457200"/>
        </a:xfrm>
        <a:prstGeom prst="roundRect">
          <a:avLst>
            <a:gd name="adj" fmla="val 50000"/>
          </a:avLst>
        </a:prstGeom>
        <a:gradFill>
          <a:gsLst>
            <a:gs pos="7000">
              <a:srgbClr val="EE37EF">
                <a:alpha val="98000"/>
              </a:srgbClr>
            </a:gs>
            <a:gs pos="95000">
              <a:srgbClr val="6124E8"/>
            </a:gs>
          </a:gsLst>
          <a:lin ang="5400000" scaled="1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185738</xdr:colOff>
      <xdr:row>17</xdr:row>
      <xdr:rowOff>19050</xdr:rowOff>
    </xdr:from>
    <xdr:to>
      <xdr:col>0</xdr:col>
      <xdr:colOff>2214563</xdr:colOff>
      <xdr:row>19</xdr:row>
      <xdr:rowOff>95250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8E68475-FBD0-4BE3-A60B-DB60533C3026}"/>
            </a:ext>
          </a:extLst>
        </xdr:cNvPr>
        <xdr:cNvSpPr/>
      </xdr:nvSpPr>
      <xdr:spPr>
        <a:xfrm>
          <a:off x="185738" y="3257550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309563</xdr:colOff>
      <xdr:row>20</xdr:row>
      <xdr:rowOff>190500</xdr:rowOff>
    </xdr:from>
    <xdr:to>
      <xdr:col>0</xdr:col>
      <xdr:colOff>2090738</xdr:colOff>
      <xdr:row>22</xdr:row>
      <xdr:rowOff>152400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98C8E80-7EDC-4772-B65B-9A706DBCD6D5}"/>
            </a:ext>
          </a:extLst>
        </xdr:cNvPr>
        <xdr:cNvSpPr/>
      </xdr:nvSpPr>
      <xdr:spPr>
        <a:xfrm>
          <a:off x="309563" y="4314825"/>
          <a:ext cx="17811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IRXpress</a:t>
          </a:r>
          <a:r>
            <a:rPr lang="pt-BR" sz="1100" baseline="0"/>
            <a:t> 🧑‍💻</a:t>
          </a:r>
          <a:endParaRPr lang="pt-BR" sz="1100"/>
        </a:p>
      </xdr:txBody>
    </xdr:sp>
    <xdr:clientData/>
  </xdr:twoCellAnchor>
  <xdr:twoCellAnchor editAs="absolute">
    <xdr:from>
      <xdr:col>0</xdr:col>
      <xdr:colOff>185738</xdr:colOff>
      <xdr:row>20</xdr:row>
      <xdr:rowOff>161925</xdr:rowOff>
    </xdr:from>
    <xdr:to>
      <xdr:col>0</xdr:col>
      <xdr:colOff>2214563</xdr:colOff>
      <xdr:row>20</xdr:row>
      <xdr:rowOff>171450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349BD82B-0B31-4DE9-A664-5B128313A0D5}"/>
            </a:ext>
          </a:extLst>
        </xdr:cNvPr>
        <xdr:cNvCxnSpPr/>
      </xdr:nvCxnSpPr>
      <xdr:spPr>
        <a:xfrm>
          <a:off x="185738" y="4286250"/>
          <a:ext cx="2028825" cy="9525"/>
        </a:xfrm>
        <a:prstGeom prst="line">
          <a:avLst/>
        </a:prstGeom>
        <a:ln w="9525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952500</xdr:colOff>
      <xdr:row>25</xdr:row>
      <xdr:rowOff>63500</xdr:rowOff>
    </xdr:from>
    <xdr:to>
      <xdr:col>0</xdr:col>
      <xdr:colOff>1447800</xdr:colOff>
      <xdr:row>27</xdr:row>
      <xdr:rowOff>139700</xdr:rowOff>
    </xdr:to>
    <xdr:pic>
      <xdr:nvPicPr>
        <xdr:cNvPr id="11" name="icon_link" descr="White LinkedIn Logo Icons for Your Websit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800E366-072A-4C30-BD35-C8D2C0B4E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826000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3238500</xdr:colOff>
      <xdr:row>22</xdr:row>
      <xdr:rowOff>176213</xdr:rowOff>
    </xdr:from>
    <xdr:to>
      <xdr:col>4</xdr:col>
      <xdr:colOff>18450</xdr:colOff>
      <xdr:row>24</xdr:row>
      <xdr:rowOff>14288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6D44C4-0798-5EBC-9929-F58D0119464E}"/>
            </a:ext>
          </a:extLst>
        </xdr:cNvPr>
        <xdr:cNvSpPr/>
      </xdr:nvSpPr>
      <xdr:spPr>
        <a:xfrm>
          <a:off x="6276975" y="4710113"/>
          <a:ext cx="3276000" cy="238125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>
    <xdr:from>
      <xdr:col>1</xdr:col>
      <xdr:colOff>561974</xdr:colOff>
      <xdr:row>22</xdr:row>
      <xdr:rowOff>176213</xdr:rowOff>
    </xdr:from>
    <xdr:to>
      <xdr:col>2</xdr:col>
      <xdr:colOff>3228374</xdr:colOff>
      <xdr:row>24</xdr:row>
      <xdr:rowOff>14288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157A4A-3DD4-4544-BE93-52973FF71173}"/>
            </a:ext>
          </a:extLst>
        </xdr:cNvPr>
        <xdr:cNvSpPr/>
      </xdr:nvSpPr>
      <xdr:spPr>
        <a:xfrm>
          <a:off x="2990849" y="4710113"/>
          <a:ext cx="3276000" cy="238125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/>
            <a:t>&lt;- ANTERIO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665301</xdr:colOff>
      <xdr:row>4</xdr:row>
      <xdr:rowOff>9524</xdr:rowOff>
    </xdr:from>
    <xdr:to>
      <xdr:col>0</xdr:col>
      <xdr:colOff>1706423</xdr:colOff>
      <xdr:row>8</xdr:row>
      <xdr:rowOff>190499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18ABBCE1-023C-4AD2-8A1D-29DD978B7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301" y="771524"/>
          <a:ext cx="1041122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</xdr:colOff>
      <xdr:row>0</xdr:row>
      <xdr:rowOff>180975</xdr:rowOff>
    </xdr:from>
    <xdr:to>
      <xdr:col>0</xdr:col>
      <xdr:colOff>2362200</xdr:colOff>
      <xdr:row>3</xdr:row>
      <xdr:rowOff>57150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D1E9850-4846-4205-ACD2-B355FBA8219C}"/>
            </a:ext>
          </a:extLst>
        </xdr:cNvPr>
        <xdr:cNvSpPr/>
      </xdr:nvSpPr>
      <xdr:spPr>
        <a:xfrm>
          <a:off x="9525" y="180975"/>
          <a:ext cx="2352675" cy="447675"/>
        </a:xfrm>
        <a:prstGeom prst="roundRect">
          <a:avLst/>
        </a:prstGeom>
        <a:noFill/>
        <a:ln>
          <a:noFill/>
        </a:ln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gradFill flip="none" rotWithShape="1">
                <a:gsLst>
                  <a:gs pos="6000">
                    <a:srgbClr val="EE37EF"/>
                  </a:gs>
                  <a:gs pos="95000">
                    <a:srgbClr val="6124E8">
                      <a:lumMod val="31000"/>
                      <a:lumOff val="69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IRXpress APP</a:t>
          </a:r>
          <a:endParaRPr lang="pt-BR" sz="1600" b="1">
            <a:gradFill flip="none" rotWithShape="1">
              <a:gsLst>
                <a:gs pos="6000">
                  <a:srgbClr val="EE37EF"/>
                </a:gs>
                <a:gs pos="95000">
                  <a:srgbClr val="6124E8">
                    <a:lumMod val="31000"/>
                    <a:lumOff val="69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185738</xdr:colOff>
      <xdr:row>11</xdr:row>
      <xdr:rowOff>28575</xdr:rowOff>
    </xdr:from>
    <xdr:to>
      <xdr:col>0</xdr:col>
      <xdr:colOff>2214563</xdr:colOff>
      <xdr:row>13</xdr:row>
      <xdr:rowOff>104775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13727A-29A6-43A4-9AAA-16B5A332F171}"/>
            </a:ext>
          </a:extLst>
        </xdr:cNvPr>
        <xdr:cNvSpPr/>
      </xdr:nvSpPr>
      <xdr:spPr>
        <a:xfrm>
          <a:off x="185738" y="2124075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123825</xdr:colOff>
      <xdr:row>33</xdr:row>
      <xdr:rowOff>0</xdr:rowOff>
    </xdr:from>
    <xdr:to>
      <xdr:col>0</xdr:col>
      <xdr:colOff>695325</xdr:colOff>
      <xdr:row>35</xdr:row>
      <xdr:rowOff>152400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1BAAD15-C40A-410C-AEF5-BC85C5E4E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628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185738</xdr:colOff>
      <xdr:row>14</xdr:row>
      <xdr:rowOff>23813</xdr:rowOff>
    </xdr:from>
    <xdr:to>
      <xdr:col>0</xdr:col>
      <xdr:colOff>2214563</xdr:colOff>
      <xdr:row>16</xdr:row>
      <xdr:rowOff>100013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6E7311-A26B-4E3B-8FFA-7FF2B308D99A}"/>
            </a:ext>
          </a:extLst>
        </xdr:cNvPr>
        <xdr:cNvSpPr/>
      </xdr:nvSpPr>
      <xdr:spPr>
        <a:xfrm>
          <a:off x="185738" y="2690813"/>
          <a:ext cx="2028825" cy="4572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185738</xdr:colOff>
      <xdr:row>17</xdr:row>
      <xdr:rowOff>19050</xdr:rowOff>
    </xdr:from>
    <xdr:to>
      <xdr:col>0</xdr:col>
      <xdr:colOff>2214563</xdr:colOff>
      <xdr:row>19</xdr:row>
      <xdr:rowOff>95250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CEC5AE-C7A7-42F5-B63F-0289CFB3F2BA}"/>
            </a:ext>
          </a:extLst>
        </xdr:cNvPr>
        <xdr:cNvSpPr/>
      </xdr:nvSpPr>
      <xdr:spPr>
        <a:xfrm>
          <a:off x="185738" y="3257550"/>
          <a:ext cx="2028825" cy="457200"/>
        </a:xfrm>
        <a:prstGeom prst="roundRect">
          <a:avLst>
            <a:gd name="adj" fmla="val 50000"/>
          </a:avLst>
        </a:prstGeom>
        <a:gradFill>
          <a:gsLst>
            <a:gs pos="7000">
              <a:srgbClr val="EE37EF">
                <a:alpha val="98000"/>
              </a:srgbClr>
            </a:gs>
            <a:gs pos="95000">
              <a:srgbClr val="6124E8"/>
            </a:gs>
          </a:gsLst>
          <a:lin ang="5400000" scaled="1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effectLst>
                <a:glow>
                  <a:schemeClr val="accent1">
                    <a:alpha val="73000"/>
                  </a:schemeClr>
                </a:glow>
                <a:outerShdw blurRad="50800" dist="50800" dir="5400000" sx="1000" sy="1000" algn="ctr" rotWithShape="0">
                  <a:srgbClr val="000000"/>
                </a:outerShdw>
              </a:effectLst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309563</xdr:colOff>
      <xdr:row>21</xdr:row>
      <xdr:rowOff>47625</xdr:rowOff>
    </xdr:from>
    <xdr:to>
      <xdr:col>0</xdr:col>
      <xdr:colOff>2090738</xdr:colOff>
      <xdr:row>23</xdr:row>
      <xdr:rowOff>9525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25C7BB6-41FA-4340-B679-B560BC0DBB23}"/>
            </a:ext>
          </a:extLst>
        </xdr:cNvPr>
        <xdr:cNvSpPr/>
      </xdr:nvSpPr>
      <xdr:spPr>
        <a:xfrm>
          <a:off x="309563" y="4314825"/>
          <a:ext cx="17811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IRXpress</a:t>
          </a:r>
          <a:r>
            <a:rPr lang="pt-BR" sz="1100" baseline="0"/>
            <a:t> 🧑‍💻</a:t>
          </a:r>
          <a:endParaRPr lang="pt-BR" sz="1100"/>
        </a:p>
      </xdr:txBody>
    </xdr:sp>
    <xdr:clientData/>
  </xdr:twoCellAnchor>
  <xdr:twoCellAnchor editAs="absolute">
    <xdr:from>
      <xdr:col>0</xdr:col>
      <xdr:colOff>185738</xdr:colOff>
      <xdr:row>21</xdr:row>
      <xdr:rowOff>19050</xdr:rowOff>
    </xdr:from>
    <xdr:to>
      <xdr:col>0</xdr:col>
      <xdr:colOff>2214563</xdr:colOff>
      <xdr:row>21</xdr:row>
      <xdr:rowOff>28575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A0E02B7A-9528-490B-9F41-707D64EE908C}"/>
            </a:ext>
          </a:extLst>
        </xdr:cNvPr>
        <xdr:cNvCxnSpPr/>
      </xdr:nvCxnSpPr>
      <xdr:spPr>
        <a:xfrm>
          <a:off x="185738" y="4286250"/>
          <a:ext cx="2028825" cy="9525"/>
        </a:xfrm>
        <a:prstGeom prst="line">
          <a:avLst/>
        </a:prstGeom>
        <a:ln w="9525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952500</xdr:colOff>
      <xdr:row>25</xdr:row>
      <xdr:rowOff>63500</xdr:rowOff>
    </xdr:from>
    <xdr:to>
      <xdr:col>0</xdr:col>
      <xdr:colOff>1447800</xdr:colOff>
      <xdr:row>27</xdr:row>
      <xdr:rowOff>139700</xdr:rowOff>
    </xdr:to>
    <xdr:pic>
      <xdr:nvPicPr>
        <xdr:cNvPr id="11" name="icon_link" descr="White LinkedIn Logo Icons for Your Websit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4F8AB60-B59F-454F-A42E-34CA73FB8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826000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600075</xdr:colOff>
      <xdr:row>5</xdr:row>
      <xdr:rowOff>114301</xdr:rowOff>
    </xdr:from>
    <xdr:to>
      <xdr:col>3</xdr:col>
      <xdr:colOff>0</xdr:colOff>
      <xdr:row>6</xdr:row>
      <xdr:rowOff>133351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511D59-0739-42F0-A432-E636B5F8D87A}"/>
            </a:ext>
          </a:extLst>
        </xdr:cNvPr>
        <xdr:cNvSpPr/>
      </xdr:nvSpPr>
      <xdr:spPr>
        <a:xfrm>
          <a:off x="3028950" y="1104901"/>
          <a:ext cx="1524000" cy="2095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050"/>
            <a:t>&lt;- ANTERIO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47E125-B8BD-4509-816B-500C48950F4D}" name="Tabela1" displayName="Tabela1" ref="A1:C51" totalsRowShown="0">
  <autoFilter ref="A1:C51" xr:uid="{2A47E125-B8BD-4509-816B-500C48950F4D}"/>
  <tableColumns count="3">
    <tableColumn id="1" xr3:uid="{1AA6E2BF-D09B-4700-9028-5904D8675A2E}" name="bancos"/>
    <tableColumn id="2" xr3:uid="{CE38157D-8FEB-4E32-842B-12735F0679A4}" name="Anexo" dataDxfId="5">
      <calculatedColumnFormula>RIGHT(A2,LEN(A2)-FIND(" - ",A2)-2)&amp;$C$1</calculatedColumnFormula>
    </tableColumn>
    <tableColumn id="3" xr3:uid="{80FD1996-9B9F-4ECB-9131-5BD912ECDFBF}" name="_2025.pdf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F3C7B1-20ED-4C36-A8F6-F4C94EEFAE92}" name="Tabela2" displayName="Tabela2" ref="C9:E40" totalsRowShown="0" headerRowDxfId="4" dataDxfId="0">
  <autoFilter ref="C9:E40" xr:uid="{D3F3C7B1-20ED-4C36-A8F6-F4C94EEFAE92}"/>
  <tableColumns count="3">
    <tableColumn id="1" xr3:uid="{73CEF3C2-2480-4B38-AD16-7988020FA882}" name="DATA" dataDxfId="3">
      <calculatedColumnFormula>RANDBETWEEN(DATE(2025,1,1), DATE(2025,12,31))</calculatedColumnFormula>
    </tableColumn>
    <tableColumn id="2" xr3:uid="{E9A2ABFD-DCB6-4591-A98F-A7AF68429465}" name="CATEGORIA" dataDxfId="2"/>
    <tableColumn id="3" xr3:uid="{413D8FE7-620E-479D-918E-ADC81019281C}" name="VALOR" dataDxfId="1" dataCellStyle="Moeda">
      <calculatedColumnFormula>RANDBETWEEN(10,10000)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/>
        </a:defPPr>
      </a:lstStyle>
      <a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iz-1234@irxpress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2ADC-D5E3-44BA-A2E5-53ADC16609A3}">
  <sheetPr codeName="Planilha1"/>
  <dimension ref="A1:C51"/>
  <sheetViews>
    <sheetView workbookViewId="0">
      <selection activeCell="E8" sqref="E8"/>
    </sheetView>
  </sheetViews>
  <sheetFormatPr defaultRowHeight="15"/>
  <cols>
    <col min="1" max="1" width="39" bestFit="1" customWidth="1"/>
    <col min="2" max="2" width="42.85546875" bestFit="1" customWidth="1"/>
    <col min="3" max="3" width="11.42578125" customWidth="1"/>
  </cols>
  <sheetData>
    <row r="1" spans="1:3">
      <c r="A1" t="s">
        <v>50</v>
      </c>
      <c r="B1" t="s">
        <v>90</v>
      </c>
      <c r="C1" t="s">
        <v>89</v>
      </c>
    </row>
    <row r="2" spans="1:3" ht="15.75">
      <c r="A2" t="s">
        <v>13</v>
      </c>
      <c r="B2" s="9" t="str">
        <f t="shared" ref="B2:B33" si="0">RIGHT(A2,LEN(A2)-FIND(" - ",A2)-2)&amp;$C$1</f>
        <v>Banco do Brasil_2025.pdf</v>
      </c>
    </row>
    <row r="3" spans="1:3" ht="15.75">
      <c r="A3" t="s">
        <v>48</v>
      </c>
      <c r="B3" s="9" t="str">
        <f t="shared" si="0"/>
        <v>XP Investimentos CCTVM S.A._2025.pdf</v>
      </c>
    </row>
    <row r="4" spans="1:3" ht="15.75">
      <c r="A4" t="s">
        <v>0</v>
      </c>
      <c r="B4" s="9" t="str">
        <f t="shared" si="0"/>
        <v>Caixa Econômica Federal_2025.pdf</v>
      </c>
    </row>
    <row r="5" spans="1:3" ht="15.75">
      <c r="A5" t="s">
        <v>38</v>
      </c>
      <c r="B5" s="9" t="str">
        <f t="shared" si="0"/>
        <v>Banco Western Union do Brasil_2025.pdf</v>
      </c>
    </row>
    <row r="6" spans="1:3" ht="15.75">
      <c r="A6" t="s">
        <v>46</v>
      </c>
      <c r="B6" s="9" t="str">
        <f t="shared" si="0"/>
        <v>Banco Itaú BBA S.A._2025.pdf</v>
      </c>
    </row>
    <row r="7" spans="1:3" ht="15.75">
      <c r="A7" t="s">
        <v>43</v>
      </c>
      <c r="B7" s="9" t="str">
        <f t="shared" si="0"/>
        <v>Stone Pagamentos_2025.pdf</v>
      </c>
    </row>
    <row r="8" spans="1:3" ht="15.75">
      <c r="A8" t="s">
        <v>5</v>
      </c>
      <c r="B8" s="9" t="str">
        <f t="shared" si="0"/>
        <v>Banco BTG Pactual_2025.pdf</v>
      </c>
    </row>
    <row r="9" spans="1:3" ht="15.75">
      <c r="A9" t="s">
        <v>28</v>
      </c>
      <c r="B9" s="9" t="str">
        <f t="shared" si="0"/>
        <v>Banco Original_2025.pdf</v>
      </c>
    </row>
    <row r="10" spans="1:3" ht="15.75">
      <c r="A10" t="s">
        <v>3</v>
      </c>
      <c r="B10" s="9" t="str">
        <f t="shared" si="0"/>
        <v>Banco Bonsucesso_2025.pdf</v>
      </c>
    </row>
    <row r="11" spans="1:3" ht="15.75">
      <c r="A11" t="s">
        <v>8</v>
      </c>
      <c r="B11" s="9" t="str">
        <f t="shared" si="0"/>
        <v>Banco Cruzeiro do Sul_2025.pdf</v>
      </c>
    </row>
    <row r="12" spans="1:3" ht="15.75">
      <c r="A12" t="s">
        <v>4</v>
      </c>
      <c r="B12" s="9" t="str">
        <f t="shared" si="0"/>
        <v>Banco Bradesco_2025.pdf</v>
      </c>
    </row>
    <row r="13" spans="1:3" ht="15.75">
      <c r="A13" t="s">
        <v>12</v>
      </c>
      <c r="B13" s="9" t="str">
        <f t="shared" si="0"/>
        <v>Banco de Pernambuco_2025.pdf</v>
      </c>
    </row>
    <row r="14" spans="1:3" ht="15.75">
      <c r="A14" t="s">
        <v>7</v>
      </c>
      <c r="B14" s="9" t="str">
        <f t="shared" si="0"/>
        <v>Banco Clássico_2025.pdf</v>
      </c>
    </row>
    <row r="15" spans="1:3" ht="15.75">
      <c r="A15" t="s">
        <v>11</v>
      </c>
      <c r="B15" s="9" t="str">
        <f t="shared" si="0"/>
        <v>Banco de Crédito e Varejo (BCV)_2025.pdf</v>
      </c>
    </row>
    <row r="16" spans="1:3" ht="15.75">
      <c r="A16" t="s">
        <v>1</v>
      </c>
      <c r="B16" s="9" t="str">
        <f t="shared" si="0"/>
        <v>Nubank_2025.pdf</v>
      </c>
    </row>
    <row r="17" spans="1:2" ht="15.75">
      <c r="A17" t="s">
        <v>15</v>
      </c>
      <c r="B17" s="9" t="str">
        <f t="shared" si="0"/>
        <v>Banco do Estado do Rio de Janeiro_2025.pdf</v>
      </c>
    </row>
    <row r="18" spans="1:2" ht="15.75">
      <c r="A18" t="s">
        <v>44</v>
      </c>
      <c r="B18" s="9" t="str">
        <f t="shared" si="0"/>
        <v>PagBank_2025.pdf</v>
      </c>
    </row>
    <row r="19" spans="1:2" ht="15.75">
      <c r="A19" t="s">
        <v>9</v>
      </c>
      <c r="B19" s="9" t="str">
        <f t="shared" si="0"/>
        <v>Banco da Amazônia_2025.pdf</v>
      </c>
    </row>
    <row r="20" spans="1:2" ht="15.75">
      <c r="A20" t="s">
        <v>31</v>
      </c>
      <c r="B20" s="9" t="str">
        <f t="shared" si="0"/>
        <v>Banco Santander_2025.pdf</v>
      </c>
    </row>
    <row r="21" spans="1:2" ht="15.75">
      <c r="A21" t="s">
        <v>39</v>
      </c>
      <c r="B21" s="9" t="str">
        <f t="shared" si="0"/>
        <v>C6 Bank_2025.pdf</v>
      </c>
    </row>
    <row r="22" spans="1:2" ht="15.75">
      <c r="A22" t="s">
        <v>42</v>
      </c>
      <c r="B22" s="9" t="str">
        <f t="shared" si="0"/>
        <v>Itaú Unibanco_2025.pdf</v>
      </c>
    </row>
    <row r="23" spans="1:2" ht="15.75">
      <c r="A23" t="s">
        <v>14</v>
      </c>
      <c r="B23" s="9" t="str">
        <f t="shared" si="0"/>
        <v>Banco do Estado do Pará_2025.pdf</v>
      </c>
    </row>
    <row r="24" spans="1:2" ht="15.75">
      <c r="A24" t="s">
        <v>49</v>
      </c>
      <c r="B24" s="9" t="str">
        <f t="shared" si="0"/>
        <v>Banco JPMorgan S.A._2025.pdf</v>
      </c>
    </row>
    <row r="25" spans="1:2" ht="15.75">
      <c r="A25" t="s">
        <v>45</v>
      </c>
      <c r="B25" s="9" t="str">
        <f t="shared" si="0"/>
        <v>PicPay_2025.pdf</v>
      </c>
    </row>
    <row r="26" spans="1:2" ht="15.75">
      <c r="A26" t="s">
        <v>17</v>
      </c>
      <c r="B26" s="9" t="str">
        <f t="shared" si="0"/>
        <v>Banco do Nordeste do Brasil_2025.pdf</v>
      </c>
    </row>
    <row r="27" spans="1:2" ht="15.75">
      <c r="A27" t="s">
        <v>16</v>
      </c>
      <c r="B27" s="9" t="str">
        <f t="shared" si="0"/>
        <v>Banco do Estado do Rio Grande do Sul_2025.pdf</v>
      </c>
    </row>
    <row r="28" spans="1:2" ht="15.75">
      <c r="A28" t="s">
        <v>30</v>
      </c>
      <c r="B28" s="9" t="str">
        <f t="shared" si="0"/>
        <v>Banco Safra_2025.pdf</v>
      </c>
    </row>
    <row r="29" spans="1:2" ht="15.75">
      <c r="A29" t="s">
        <v>6</v>
      </c>
      <c r="B29" s="9" t="str">
        <f t="shared" si="0"/>
        <v>Banco BVA_2025.pdf</v>
      </c>
    </row>
    <row r="30" spans="1:2" ht="15.75">
      <c r="A30" t="s">
        <v>33</v>
      </c>
      <c r="B30" s="9" t="str">
        <f t="shared" si="0"/>
        <v>Banco Sumitomo Mitsui Brasileiro_2025.pdf</v>
      </c>
    </row>
    <row r="31" spans="1:2" ht="15.75">
      <c r="A31" t="s">
        <v>40</v>
      </c>
      <c r="B31" s="9" t="str">
        <f t="shared" si="0"/>
        <v>Citibank_2025.pdf</v>
      </c>
    </row>
    <row r="32" spans="1:2" ht="15.75">
      <c r="A32" t="s">
        <v>24</v>
      </c>
      <c r="B32" s="9" t="str">
        <f t="shared" si="0"/>
        <v>Banco Luso Brasileiro_2025.pdf</v>
      </c>
    </row>
    <row r="33" spans="1:2" ht="15.75">
      <c r="A33" t="s">
        <v>19</v>
      </c>
      <c r="B33" s="9" t="str">
        <f t="shared" si="0"/>
        <v>Banco Industrial do Brasil_2025.pdf</v>
      </c>
    </row>
    <row r="34" spans="1:2" ht="15.75">
      <c r="A34" t="s">
        <v>37</v>
      </c>
      <c r="B34" s="9" t="str">
        <f t="shared" ref="B34:B65" si="1">RIGHT(A34,LEN(A34)-FIND(" - ",A34)-2)&amp;$C$1</f>
        <v>Banco VR_2025.pdf</v>
      </c>
    </row>
    <row r="35" spans="1:2" ht="15.75">
      <c r="A35" t="s">
        <v>41</v>
      </c>
      <c r="B35" s="9" t="str">
        <f t="shared" si="1"/>
        <v>Hipercard Banco Múltiplo_2025.pdf</v>
      </c>
    </row>
    <row r="36" spans="1:2" ht="15.75">
      <c r="A36" t="s">
        <v>35</v>
      </c>
      <c r="B36" s="9" t="str">
        <f t="shared" si="1"/>
        <v>Banco Triângulo_2025.pdf</v>
      </c>
    </row>
    <row r="37" spans="1:2" ht="15.75">
      <c r="A37" t="s">
        <v>23</v>
      </c>
      <c r="B37" s="9" t="str">
        <f t="shared" si="1"/>
        <v>Banco Lemon_2025.pdf</v>
      </c>
    </row>
    <row r="38" spans="1:2" ht="15.75">
      <c r="A38" t="s">
        <v>2</v>
      </c>
      <c r="B38" s="9" t="str">
        <f t="shared" si="1"/>
        <v>Banco AJ Renner_2025.pdf</v>
      </c>
    </row>
    <row r="39" spans="1:2" ht="15.75">
      <c r="A39" t="s">
        <v>36</v>
      </c>
      <c r="B39" s="9" t="str">
        <f t="shared" si="1"/>
        <v>Banco Votorantim_2025.pdf</v>
      </c>
    </row>
    <row r="40" spans="1:2" ht="15.75">
      <c r="A40" t="s">
        <v>26</v>
      </c>
      <c r="B40" s="9" t="str">
        <f t="shared" si="1"/>
        <v>Banco Morgan Stanley_2025.pdf</v>
      </c>
    </row>
    <row r="41" spans="1:2" ht="15.75">
      <c r="A41" t="s">
        <v>10</v>
      </c>
      <c r="B41" s="9" t="str">
        <f t="shared" si="1"/>
        <v>Banco Daycoval_2025.pdf</v>
      </c>
    </row>
    <row r="42" spans="1:2" ht="15.75">
      <c r="A42" t="s">
        <v>29</v>
      </c>
      <c r="B42" s="9" t="str">
        <f t="shared" si="1"/>
        <v>Banco Rural Mais_2025.pdf</v>
      </c>
    </row>
    <row r="43" spans="1:2" ht="15.75">
      <c r="A43" t="s">
        <v>18</v>
      </c>
      <c r="B43" s="9" t="str">
        <f t="shared" si="1"/>
        <v>Banco Gerdau_2025.pdf</v>
      </c>
    </row>
    <row r="44" spans="1:2" ht="15.75">
      <c r="A44" t="s">
        <v>27</v>
      </c>
      <c r="B44" s="9" t="str">
        <f t="shared" si="1"/>
        <v>Banco Neon_2025.pdf</v>
      </c>
    </row>
    <row r="45" spans="1:2" ht="15.75">
      <c r="A45" t="s">
        <v>21</v>
      </c>
      <c r="B45" s="9" t="str">
        <f t="shared" si="1"/>
        <v>Banco J. Safra_2025.pdf</v>
      </c>
    </row>
    <row r="46" spans="1:2" ht="15.75">
      <c r="A46" t="s">
        <v>25</v>
      </c>
      <c r="B46" s="9" t="str">
        <f t="shared" si="1"/>
        <v>Banco Modal_2025.pdf</v>
      </c>
    </row>
    <row r="47" spans="1:2" ht="15.75">
      <c r="A47" t="s">
        <v>47</v>
      </c>
      <c r="B47" s="9" t="str">
        <f t="shared" si="1"/>
        <v>Banco Cooperativo Sicredi S.A._2025.pdf</v>
      </c>
    </row>
    <row r="48" spans="1:2" ht="15.75">
      <c r="A48" t="s">
        <v>32</v>
      </c>
      <c r="B48" s="9" t="str">
        <f t="shared" si="1"/>
        <v>Banco Simples_2025.pdf</v>
      </c>
    </row>
    <row r="49" spans="1:2" ht="15.75">
      <c r="A49" t="s">
        <v>20</v>
      </c>
      <c r="B49" s="9" t="str">
        <f t="shared" si="1"/>
        <v>Banco Inter_2025.pdf</v>
      </c>
    </row>
    <row r="50" spans="1:2" ht="15.75">
      <c r="A50" t="s">
        <v>22</v>
      </c>
      <c r="B50" s="9" t="str">
        <f t="shared" si="1"/>
        <v>Banco JBS_2025.pdf</v>
      </c>
    </row>
    <row r="51" spans="1:2" ht="15.75">
      <c r="A51" t="s">
        <v>34</v>
      </c>
      <c r="B51" s="9" t="str">
        <f t="shared" si="1"/>
        <v>Banco Topázio_2025.pdf</v>
      </c>
    </row>
  </sheetData>
  <sortState xmlns:xlrd2="http://schemas.microsoft.com/office/spreadsheetml/2017/richdata2" ref="A2:A51">
    <sortCondition ref="A2:A51"/>
  </sortState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0D76-F833-4D5D-8983-7CAAD6A2DB8B}">
  <sheetPr codeName="Planilha2"/>
  <dimension ref="A1:O20"/>
  <sheetViews>
    <sheetView showGridLines="0" showRowColHeaders="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6.5"/>
  <cols>
    <col min="1" max="1" width="36.42578125" style="1" customWidth="1"/>
    <col min="3" max="4" width="48.7109375" style="4" customWidth="1"/>
    <col min="5" max="5" width="9.140625" style="4"/>
    <col min="14" max="14" width="17.85546875" hidden="1" customWidth="1"/>
    <col min="15" max="15" width="0" hidden="1" customWidth="1"/>
  </cols>
  <sheetData>
    <row r="1" spans="3:15">
      <c r="N1" t="s">
        <v>51</v>
      </c>
    </row>
    <row r="2" spans="3:15">
      <c r="N2" t="s">
        <v>52</v>
      </c>
    </row>
    <row r="3" spans="3:15">
      <c r="N3" t="s">
        <v>53</v>
      </c>
    </row>
    <row r="4" spans="3:15" ht="17.25" thickBot="1">
      <c r="C4" s="6" t="s">
        <v>71</v>
      </c>
      <c r="N4" s="3" t="s">
        <v>56</v>
      </c>
    </row>
    <row r="5" spans="3:15" ht="18" customHeight="1" thickTop="1">
      <c r="C5" s="11" t="s">
        <v>74</v>
      </c>
      <c r="D5" s="11"/>
      <c r="N5" t="s">
        <v>54</v>
      </c>
    </row>
    <row r="6" spans="3:15">
      <c r="N6" s="2" t="s">
        <v>55</v>
      </c>
    </row>
    <row r="7" spans="3:15">
      <c r="C7" s="5" t="s">
        <v>58</v>
      </c>
      <c r="D7" s="20" t="s">
        <v>75</v>
      </c>
      <c r="N7" t="s">
        <v>72</v>
      </c>
    </row>
    <row r="8" spans="3:15">
      <c r="C8" s="5" t="s">
        <v>59</v>
      </c>
      <c r="D8" s="20" t="str" cm="1">
        <f t="array" ref="D8">GerarCPF(TRUE)</f>
        <v>935.705.426-02</v>
      </c>
    </row>
    <row r="9" spans="3:15">
      <c r="C9" s="5" t="s">
        <v>60</v>
      </c>
      <c r="D9" s="21">
        <f ca="1">RANDBETWEEN(DATE(1980,1,1), DATE(2025,12,31))</f>
        <v>38287</v>
      </c>
    </row>
    <row r="10" spans="3:15">
      <c r="C10" s="5" t="s">
        <v>61</v>
      </c>
      <c r="D10" s="20" t="str" cm="1">
        <f t="array" ref="D10">GerarTituloEleitor(25)</f>
        <v>622885992517</v>
      </c>
    </row>
    <row r="11" spans="3:15">
      <c r="C11" s="5" t="s">
        <v>62</v>
      </c>
      <c r="D11" s="20" t="s">
        <v>76</v>
      </c>
    </row>
    <row r="12" spans="3:15">
      <c r="C12" s="5" t="s">
        <v>63</v>
      </c>
      <c r="D12" s="20" t="s">
        <v>77</v>
      </c>
    </row>
    <row r="13" spans="3:15">
      <c r="C13" s="5" t="s">
        <v>65</v>
      </c>
      <c r="D13" s="20" t="s">
        <v>78</v>
      </c>
    </row>
    <row r="14" spans="3:15">
      <c r="C14" s="5" t="s">
        <v>64</v>
      </c>
      <c r="D14" s="20" t="str">
        <f ca="1">TEXT(RANDBETWEEN(10000000,99999999),"00\.000\-000")</f>
        <v>91.701-521</v>
      </c>
      <c r="O14" t="s">
        <v>57</v>
      </c>
    </row>
    <row r="15" spans="3:15">
      <c r="C15" s="5" t="s">
        <v>66</v>
      </c>
      <c r="D15" s="20" t="str">
        <f ca="1">"(" &amp; RANDBETWEEN(11,99) &amp; ") " &amp; TEXT(RANDBETWEEN(900000000,999999999),"00000-0000")</f>
        <v>(15) 92286-4287</v>
      </c>
    </row>
    <row r="16" spans="3:15">
      <c r="C16" s="5" t="s">
        <v>67</v>
      </c>
      <c r="D16" s="20" t="str">
        <f ca="1">"(" &amp; RANDBETWEEN(11,99) &amp; ") " &amp; TEXT(RANDBETWEEN(900000000,999999999),"00000-0000")</f>
        <v>(75) 95677-6539</v>
      </c>
    </row>
    <row r="17" spans="3:4">
      <c r="C17" s="5" t="s">
        <v>79</v>
      </c>
      <c r="D17" s="22" t="s">
        <v>80</v>
      </c>
    </row>
    <row r="18" spans="3:4">
      <c r="C18" s="5" t="s">
        <v>68</v>
      </c>
      <c r="D18" s="20" t="s">
        <v>81</v>
      </c>
    </row>
    <row r="19" spans="3:4">
      <c r="C19" s="5" t="s">
        <v>69</v>
      </c>
      <c r="D19" s="20" t="s">
        <v>81</v>
      </c>
    </row>
    <row r="20" spans="3:4">
      <c r="C20" s="5" t="s">
        <v>70</v>
      </c>
      <c r="D20" s="20" t="s">
        <v>81</v>
      </c>
    </row>
  </sheetData>
  <sheetProtection selectLockedCells="1"/>
  <mergeCells count="1">
    <mergeCell ref="C5:D5"/>
  </mergeCells>
  <dataValidations disablePrompts="1" count="1">
    <dataValidation type="list" allowBlank="1" showInputMessage="1" showErrorMessage="1" sqref="D18:D20" xr:uid="{F6D4184A-7C88-4690-B543-A7F7B134D862}">
      <formula1>"SIM, NÃO"</formula1>
    </dataValidation>
  </dataValidations>
  <hyperlinks>
    <hyperlink ref="D17" r:id="rId1" xr:uid="{EF4C17C0-025E-4DEB-9D88-1696EA8239E0}"/>
  </hyperlink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D3DC-2B5C-4A27-A61A-7F9A429E7914}">
  <sheetPr codeName="Planilha3"/>
  <dimension ref="A1:O39"/>
  <sheetViews>
    <sheetView showGridLines="0" showRowColHeaders="0" workbookViewId="0">
      <selection activeCell="C10" sqref="C10:D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/>
  <cols>
    <col min="1" max="1" width="36.42578125" style="1" customWidth="1"/>
    <col min="3" max="4" width="48.7109375" customWidth="1"/>
    <col min="14" max="14" width="17.85546875" hidden="1" customWidth="1"/>
    <col min="15" max="15" width="0" hidden="1" customWidth="1"/>
  </cols>
  <sheetData>
    <row r="1" spans="3:15">
      <c r="N1" t="s">
        <v>51</v>
      </c>
    </row>
    <row r="2" spans="3:15">
      <c r="N2" t="s">
        <v>52</v>
      </c>
    </row>
    <row r="3" spans="3:15">
      <c r="N3" t="s">
        <v>53</v>
      </c>
    </row>
    <row r="4" spans="3:15" ht="15.75" thickBot="1">
      <c r="C4" s="13" t="s">
        <v>73</v>
      </c>
      <c r="D4" s="13"/>
      <c r="N4" s="3" t="s">
        <v>56</v>
      </c>
    </row>
    <row r="5" spans="3:15" ht="18" customHeight="1" thickTop="1">
      <c r="C5" s="12" t="s">
        <v>74</v>
      </c>
      <c r="D5" s="12"/>
      <c r="N5" t="s">
        <v>54</v>
      </c>
    </row>
    <row r="6" spans="3:15" ht="16.5">
      <c r="C6" s="4"/>
      <c r="D6" s="4"/>
      <c r="N6" s="2" t="s">
        <v>55</v>
      </c>
    </row>
    <row r="7" spans="3:15" ht="16.5">
      <c r="C7" s="4" t="s">
        <v>82</v>
      </c>
      <c r="D7" s="4"/>
    </row>
    <row r="8" spans="3:15">
      <c r="C8" s="14">
        <f ca="1">D11+D16+D21</f>
        <v>910534</v>
      </c>
      <c r="D8" s="15"/>
    </row>
    <row r="9" spans="3:15" ht="16.5">
      <c r="C9" s="7" t="s">
        <v>83</v>
      </c>
      <c r="D9" s="10"/>
    </row>
    <row r="10" spans="3:15" ht="16.5">
      <c r="C10" s="5" t="s">
        <v>84</v>
      </c>
      <c r="D10" s="23" t="s">
        <v>4</v>
      </c>
    </row>
    <row r="11" spans="3:15" ht="16.5">
      <c r="C11" s="5" t="s">
        <v>85</v>
      </c>
      <c r="D11" s="24">
        <f ca="1">RANDBETWEEN(10,1000000)</f>
        <v>573295</v>
      </c>
    </row>
    <row r="12" spans="3:15" ht="16.5">
      <c r="C12" s="5" t="s">
        <v>86</v>
      </c>
      <c r="D12" s="23" t="str">
        <f>_xlfn.XLOOKUP(D10,Planilha2!A:A,Planilha2!B:B,0)</f>
        <v>Banco Bradesco_2025.pdf</v>
      </c>
    </row>
    <row r="13" spans="3:15" ht="16.5">
      <c r="C13" s="4"/>
      <c r="D13" s="4"/>
    </row>
    <row r="14" spans="3:15" ht="16.5">
      <c r="C14" s="7" t="s">
        <v>87</v>
      </c>
      <c r="D14" s="4"/>
      <c r="O14" t="s">
        <v>57</v>
      </c>
    </row>
    <row r="15" spans="3:15" ht="16.5">
      <c r="C15" s="5" t="s">
        <v>84</v>
      </c>
      <c r="D15" s="23" t="s">
        <v>46</v>
      </c>
    </row>
    <row r="16" spans="3:15" ht="16.5">
      <c r="C16" s="5" t="s">
        <v>85</v>
      </c>
      <c r="D16" s="24">
        <f ca="1">RANDBETWEEN(10,1000000)</f>
        <v>134679</v>
      </c>
    </row>
    <row r="17" spans="3:4" ht="16.5">
      <c r="C17" s="5" t="s">
        <v>86</v>
      </c>
      <c r="D17" s="23" t="str">
        <f>_xlfn.XLOOKUP(D15,Planilha2!A:A,Planilha2!B:B,0)</f>
        <v>Banco Itaú BBA S.A._2025.pdf</v>
      </c>
    </row>
    <row r="18" spans="3:4" ht="16.5">
      <c r="C18" s="4"/>
      <c r="D18" s="4"/>
    </row>
    <row r="19" spans="3:4" ht="16.5">
      <c r="C19" s="7" t="s">
        <v>88</v>
      </c>
      <c r="D19" s="4"/>
    </row>
    <row r="20" spans="3:4" ht="16.5">
      <c r="C20" s="5" t="s">
        <v>84</v>
      </c>
      <c r="D20" s="23" t="s">
        <v>8</v>
      </c>
    </row>
    <row r="21" spans="3:4" ht="16.5">
      <c r="C21" s="5" t="s">
        <v>85</v>
      </c>
      <c r="D21" s="24">
        <f ca="1">RANDBETWEEN(10,1000000)</f>
        <v>202560</v>
      </c>
    </row>
    <row r="22" spans="3:4" ht="16.5">
      <c r="C22" s="5" t="s">
        <v>86</v>
      </c>
      <c r="D22" s="23" t="str">
        <f>_xlfn.XLOOKUP(D20,Planilha2!A:A,Planilha2!B:B,0)</f>
        <v>Banco Cruzeiro do Sul_2025.pdf</v>
      </c>
    </row>
    <row r="23" spans="3:4" ht="16.5">
      <c r="C23" s="4"/>
      <c r="D23" s="4"/>
    </row>
    <row r="24" spans="3:4">
      <c r="C24" s="8"/>
      <c r="D24" s="8"/>
    </row>
    <row r="25" spans="3:4" ht="16.5">
      <c r="C25" s="4"/>
      <c r="D25" s="4"/>
    </row>
    <row r="26" spans="3:4" ht="16.5">
      <c r="C26" s="4"/>
      <c r="D26" s="4"/>
    </row>
    <row r="27" spans="3:4" ht="16.5">
      <c r="C27" s="4"/>
      <c r="D27" s="4"/>
    </row>
    <row r="28" spans="3:4" ht="16.5">
      <c r="C28" s="4"/>
      <c r="D28" s="4"/>
    </row>
    <row r="29" spans="3:4" ht="16.5">
      <c r="C29" s="4"/>
      <c r="D29" s="4"/>
    </row>
    <row r="30" spans="3:4" ht="16.5">
      <c r="C30" s="4"/>
      <c r="D30" s="4"/>
    </row>
    <row r="31" spans="3:4" ht="16.5">
      <c r="C31" s="4"/>
      <c r="D31" s="4"/>
    </row>
    <row r="32" spans="3:4" ht="16.5">
      <c r="C32" s="4"/>
      <c r="D32" s="4"/>
    </row>
    <row r="33" spans="3:4" ht="16.5">
      <c r="C33" s="4"/>
      <c r="D33" s="4"/>
    </row>
    <row r="34" spans="3:4" ht="16.5">
      <c r="C34" s="4"/>
      <c r="D34" s="4"/>
    </row>
    <row r="35" spans="3:4" ht="16.5">
      <c r="C35" s="4"/>
      <c r="D35" s="4"/>
    </row>
    <row r="36" spans="3:4" ht="16.5">
      <c r="C36" s="4"/>
      <c r="D36" s="4"/>
    </row>
    <row r="37" spans="3:4" ht="16.5">
      <c r="C37" s="4"/>
      <c r="D37" s="4"/>
    </row>
    <row r="38" spans="3:4" ht="16.5">
      <c r="C38" s="4"/>
      <c r="D38" s="4"/>
    </row>
    <row r="39" spans="3:4" ht="16.5">
      <c r="C39" s="4"/>
      <c r="D39" s="4"/>
    </row>
  </sheetData>
  <sheetProtection selectLockedCells="1"/>
  <mergeCells count="3">
    <mergeCell ref="C5:D5"/>
    <mergeCell ref="C4:D4"/>
    <mergeCell ref="C8:D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68DF0-AC89-49C4-B439-11B6962F3C31}">
          <x14:formula1>
            <xm:f>Planilha2!$A$2:$A$51</xm:f>
          </x14:formula1>
          <xm:sqref>D10 D15 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5018D-4B46-442E-B446-727F52666760}">
  <sheetPr codeName="Planilha4"/>
  <dimension ref="A1:O40"/>
  <sheetViews>
    <sheetView showGridLines="0" showRowColHeaders="0" tabSelected="1" workbookViewId="0">
      <selection activeCell="J17" sqref="J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/>
  <cols>
    <col min="1" max="1" width="36.42578125" style="1" customWidth="1"/>
    <col min="3" max="3" width="22.7109375" customWidth="1"/>
    <col min="4" max="4" width="27.140625" customWidth="1"/>
    <col min="5" max="5" width="18" customWidth="1"/>
    <col min="14" max="14" width="17.85546875" hidden="1" customWidth="1"/>
    <col min="15" max="15" width="0" hidden="1" customWidth="1"/>
  </cols>
  <sheetData>
    <row r="1" spans="3:15">
      <c r="N1" t="s">
        <v>51</v>
      </c>
    </row>
    <row r="2" spans="3:15">
      <c r="N2" t="s">
        <v>52</v>
      </c>
    </row>
    <row r="3" spans="3:15">
      <c r="N3" t="s">
        <v>53</v>
      </c>
    </row>
    <row r="4" spans="3:15">
      <c r="C4" s="18" t="s">
        <v>91</v>
      </c>
      <c r="D4" s="18"/>
      <c r="E4" s="18"/>
      <c r="N4" s="3" t="s">
        <v>56</v>
      </c>
    </row>
    <row r="5" spans="3:15" ht="18" customHeight="1">
      <c r="C5" s="17" t="s">
        <v>92</v>
      </c>
      <c r="D5" s="17"/>
      <c r="E5" s="17"/>
      <c r="N5" t="s">
        <v>54</v>
      </c>
    </row>
    <row r="6" spans="3:15">
      <c r="N6" s="2" t="s">
        <v>55</v>
      </c>
    </row>
    <row r="8" spans="3:15">
      <c r="C8" s="19" t="s">
        <v>93</v>
      </c>
      <c r="D8" s="19"/>
      <c r="E8" s="19"/>
    </row>
    <row r="9" spans="3:15">
      <c r="C9" s="16" t="s">
        <v>94</v>
      </c>
      <c r="D9" s="16" t="s">
        <v>95</v>
      </c>
      <c r="E9" s="16" t="s">
        <v>96</v>
      </c>
    </row>
    <row r="10" spans="3:15" ht="16.5">
      <c r="C10" s="25">
        <f t="shared" ref="C10:C40" ca="1" si="0">RANDBETWEEN(DATE(2025,1,1), DATE(2025,12,31))</f>
        <v>45672</v>
      </c>
      <c r="D10" s="26" t="s">
        <v>97</v>
      </c>
      <c r="E10" s="27">
        <f t="shared" ref="E10:E40" ca="1" si="1">RANDBETWEEN(10,10000)</f>
        <v>1089</v>
      </c>
    </row>
    <row r="11" spans="3:15" ht="16.5">
      <c r="C11" s="25">
        <f t="shared" ca="1" si="0"/>
        <v>45916</v>
      </c>
      <c r="D11" s="26" t="s">
        <v>98</v>
      </c>
      <c r="E11" s="27">
        <f t="shared" ca="1" si="1"/>
        <v>9000</v>
      </c>
    </row>
    <row r="12" spans="3:15" ht="16.5">
      <c r="C12" s="25">
        <f t="shared" ca="1" si="0"/>
        <v>45764</v>
      </c>
      <c r="D12" s="26" t="s">
        <v>99</v>
      </c>
      <c r="E12" s="27">
        <f t="shared" ca="1" si="1"/>
        <v>7166</v>
      </c>
    </row>
    <row r="13" spans="3:15" ht="16.5">
      <c r="C13" s="25">
        <f t="shared" ca="1" si="0"/>
        <v>45995</v>
      </c>
      <c r="D13" s="26" t="s">
        <v>99</v>
      </c>
      <c r="E13" s="27">
        <f t="shared" ca="1" si="1"/>
        <v>1734</v>
      </c>
    </row>
    <row r="14" spans="3:15" ht="16.5">
      <c r="C14" s="25">
        <f t="shared" ca="1" si="0"/>
        <v>45986</v>
      </c>
      <c r="D14" s="26" t="s">
        <v>98</v>
      </c>
      <c r="E14" s="27">
        <f t="shared" ca="1" si="1"/>
        <v>9049</v>
      </c>
      <c r="O14" t="s">
        <v>57</v>
      </c>
    </row>
    <row r="15" spans="3:15" ht="16.5">
      <c r="C15" s="25">
        <f t="shared" ca="1" si="0"/>
        <v>46011</v>
      </c>
      <c r="D15" s="26" t="s">
        <v>99</v>
      </c>
      <c r="E15" s="27">
        <f t="shared" ca="1" si="1"/>
        <v>5400</v>
      </c>
    </row>
    <row r="16" spans="3:15" ht="16.5">
      <c r="C16" s="25">
        <f t="shared" ca="1" si="0"/>
        <v>46014</v>
      </c>
      <c r="D16" s="26" t="s">
        <v>98</v>
      </c>
      <c r="E16" s="27">
        <f t="shared" ca="1" si="1"/>
        <v>66</v>
      </c>
    </row>
    <row r="17" spans="3:5" ht="16.5">
      <c r="C17" s="25">
        <f t="shared" ca="1" si="0"/>
        <v>45932</v>
      </c>
      <c r="D17" s="26" t="s">
        <v>98</v>
      </c>
      <c r="E17" s="27">
        <f t="shared" ca="1" si="1"/>
        <v>6847</v>
      </c>
    </row>
    <row r="18" spans="3:5" ht="16.5">
      <c r="C18" s="25">
        <f t="shared" ca="1" si="0"/>
        <v>45800</v>
      </c>
      <c r="D18" s="26" t="s">
        <v>98</v>
      </c>
      <c r="E18" s="27">
        <f t="shared" ca="1" si="1"/>
        <v>112</v>
      </c>
    </row>
    <row r="19" spans="3:5" ht="16.5">
      <c r="C19" s="25">
        <f t="shared" ca="1" si="0"/>
        <v>45742</v>
      </c>
      <c r="D19" s="26" t="s">
        <v>98</v>
      </c>
      <c r="E19" s="27">
        <f t="shared" ca="1" si="1"/>
        <v>7623</v>
      </c>
    </row>
    <row r="20" spans="3:5" ht="16.5">
      <c r="C20" s="25">
        <f t="shared" ca="1" si="0"/>
        <v>45793</v>
      </c>
      <c r="D20" s="26" t="s">
        <v>99</v>
      </c>
      <c r="E20" s="27">
        <f t="shared" ca="1" si="1"/>
        <v>1731</v>
      </c>
    </row>
    <row r="21" spans="3:5" ht="16.5">
      <c r="C21" s="25"/>
      <c r="D21" s="26"/>
      <c r="E21" s="27"/>
    </row>
    <row r="22" spans="3:5" ht="16.5">
      <c r="C22" s="25"/>
      <c r="D22" s="26"/>
      <c r="E22" s="27"/>
    </row>
    <row r="23" spans="3:5" ht="16.5">
      <c r="C23" s="25"/>
      <c r="D23" s="26"/>
      <c r="E23" s="27"/>
    </row>
    <row r="24" spans="3:5" ht="16.5">
      <c r="C24" s="25"/>
      <c r="D24" s="26"/>
      <c r="E24" s="27"/>
    </row>
    <row r="25" spans="3:5" ht="16.5">
      <c r="C25" s="25"/>
      <c r="D25" s="26"/>
      <c r="E25" s="27"/>
    </row>
    <row r="26" spans="3:5" ht="16.5">
      <c r="C26" s="25"/>
      <c r="D26" s="26"/>
      <c r="E26" s="27"/>
    </row>
    <row r="27" spans="3:5" ht="16.5">
      <c r="C27" s="25"/>
      <c r="D27" s="26"/>
      <c r="E27" s="27"/>
    </row>
    <row r="28" spans="3:5" ht="16.5">
      <c r="C28" s="25"/>
      <c r="D28" s="26"/>
      <c r="E28" s="27"/>
    </row>
    <row r="29" spans="3:5" ht="16.5">
      <c r="C29" s="25"/>
      <c r="D29" s="26"/>
      <c r="E29" s="27"/>
    </row>
    <row r="30" spans="3:5" ht="16.5">
      <c r="C30" s="25"/>
      <c r="D30" s="26"/>
      <c r="E30" s="27"/>
    </row>
    <row r="31" spans="3:5" ht="16.5">
      <c r="C31" s="25"/>
      <c r="D31" s="26"/>
      <c r="E31" s="27"/>
    </row>
    <row r="32" spans="3:5" ht="16.5">
      <c r="C32" s="25"/>
      <c r="D32" s="26"/>
      <c r="E32" s="27"/>
    </row>
    <row r="33" spans="3:5" ht="16.5">
      <c r="C33" s="25"/>
      <c r="D33" s="26"/>
      <c r="E33" s="27"/>
    </row>
    <row r="34" spans="3:5" ht="16.5">
      <c r="C34" s="25"/>
      <c r="D34" s="26"/>
      <c r="E34" s="27"/>
    </row>
    <row r="35" spans="3:5" ht="16.5">
      <c r="C35" s="25"/>
      <c r="D35" s="26"/>
      <c r="E35" s="27"/>
    </row>
    <row r="36" spans="3:5" ht="16.5">
      <c r="C36" s="25"/>
      <c r="D36" s="26"/>
      <c r="E36" s="27"/>
    </row>
    <row r="37" spans="3:5" ht="16.5">
      <c r="C37" s="25"/>
      <c r="D37" s="26"/>
      <c r="E37" s="27"/>
    </row>
    <row r="38" spans="3:5" ht="16.5">
      <c r="C38" s="25"/>
      <c r="D38" s="26"/>
      <c r="E38" s="27"/>
    </row>
    <row r="39" spans="3:5" ht="16.5">
      <c r="C39" s="25"/>
      <c r="D39" s="26"/>
      <c r="E39" s="27"/>
    </row>
    <row r="40" spans="3:5" ht="16.5">
      <c r="C40" s="25"/>
      <c r="D40" s="26"/>
      <c r="E40" s="27"/>
    </row>
  </sheetData>
  <sheetProtection selectLockedCells="1"/>
  <mergeCells count="2">
    <mergeCell ref="C8:E8"/>
    <mergeCell ref="C4:E4"/>
  </mergeCells>
  <dataValidations count="1">
    <dataValidation type="list" allowBlank="1" showInputMessage="1" showErrorMessage="1" sqref="D10:D40" xr:uid="{079C7CFA-F310-4380-9460-6645CDC11A9E}">
      <formula1>"HOLERITE,CNPJ,FREELANCER"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Props1.xml><?xml version="1.0" encoding="utf-8"?>
<ds:datastoreItem xmlns:ds="http://schemas.openxmlformats.org/officeDocument/2006/customXml" ds:itemID="{8B69849B-37F1-4594-8DF9-7938EC83CA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8F71B4-0C4E-464B-8DD1-FE385FAE2F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80C06D-F603-4315-BF13-982EB8576E3A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Planilha2</vt:lpstr>
      <vt:lpstr>TITULAR</vt:lpstr>
      <vt:lpstr>INFORMES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Silva Aguiar</dc:creator>
  <cp:lastModifiedBy>Luis Guilherme Cataneo</cp:lastModifiedBy>
  <dcterms:created xsi:type="dcterms:W3CDTF">2025-04-28T22:47:29Z</dcterms:created>
  <dcterms:modified xsi:type="dcterms:W3CDTF">2025-07-02T22:35:08Z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